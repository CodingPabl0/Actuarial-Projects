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thonycruz/Desktop/Excel-VBA-Projects/Etched/Project-4/"/>
    </mc:Choice>
  </mc:AlternateContent>
  <xr:revisionPtr revIDLastSave="0" documentId="13_ncr:1_{A076C032-8EF3-BB4B-A886-1D5C7A679953}" xr6:coauthVersionLast="47" xr6:coauthVersionMax="47" xr10:uidLastSave="{00000000-0000-0000-0000-000000000000}"/>
  <bookViews>
    <workbookView xWindow="3280" yWindow="880" windowWidth="34560" windowHeight="20640" activeTab="1" xr2:uid="{314FDA9C-68FE-4281-95BF-D4D2C8170C44}"/>
  </bookViews>
  <sheets>
    <sheet name="Policyholder Data" sheetId="6" r:id="rId1"/>
    <sheet name="Claims Projection Tool" sheetId="5" r:id="rId2"/>
  </sheets>
  <definedNames>
    <definedName name="Age">'Claims Projection Tool'!$C$5</definedName>
    <definedName name="Condition">'Claims Projection Tool'!$C$6</definedName>
    <definedName name="Gender">'Claims Projection Tool'!$C$4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5" l="1"/>
  <c r="W5" i="5"/>
  <c r="X5" i="5"/>
  <c r="Y5" i="5"/>
  <c r="Z5" i="5"/>
  <c r="AA5" i="5"/>
  <c r="AB5" i="5"/>
  <c r="AC5" i="5"/>
  <c r="AD5" i="5"/>
  <c r="AD6" i="5" s="1"/>
  <c r="O5" i="5"/>
  <c r="P5" i="5"/>
  <c r="Q5" i="5"/>
  <c r="R5" i="5"/>
  <c r="S5" i="5"/>
  <c r="T5" i="5"/>
  <c r="U5" i="5"/>
  <c r="H5" i="5"/>
  <c r="I5" i="5"/>
  <c r="J5" i="5"/>
  <c r="K5" i="5"/>
  <c r="L5" i="5"/>
  <c r="M5" i="5"/>
  <c r="N5" i="5"/>
  <c r="G5" i="5"/>
  <c r="F5" i="5"/>
  <c r="K18" i="5"/>
  <c r="L18" i="5"/>
  <c r="M18" i="5"/>
  <c r="N18" i="5"/>
  <c r="J18" i="5"/>
  <c r="K16" i="5"/>
  <c r="L16" i="5" s="1"/>
  <c r="M16" i="5" s="1"/>
  <c r="N16" i="5" s="1"/>
  <c r="T6" i="5" l="1"/>
  <c r="M6" i="5"/>
  <c r="O6" i="5"/>
  <c r="F6" i="5"/>
  <c r="H6" i="5"/>
  <c r="G6" i="5"/>
  <c r="K6" i="5"/>
  <c r="U6" i="5"/>
  <c r="Q6" i="5"/>
  <c r="AC6" i="5"/>
  <c r="Y6" i="5"/>
  <c r="X6" i="5"/>
  <c r="N6" i="5"/>
  <c r="P6" i="5"/>
  <c r="I6" i="5"/>
  <c r="AA6" i="5"/>
  <c r="W6" i="5"/>
  <c r="J6" i="5"/>
  <c r="AB6" i="5"/>
  <c r="S6" i="5"/>
  <c r="L6" i="5"/>
  <c r="R6" i="5"/>
  <c r="Z6" i="5"/>
  <c r="V6" i="5"/>
  <c r="F8" i="5" l="1"/>
</calcChain>
</file>

<file path=xl/sharedStrings.xml><?xml version="1.0" encoding="utf-8"?>
<sst xmlns="http://schemas.openxmlformats.org/spreadsheetml/2006/main" count="228" uniqueCount="121">
  <si>
    <t>Male</t>
  </si>
  <si>
    <t>Female</t>
  </si>
  <si>
    <t>Healthy</t>
  </si>
  <si>
    <t>Unhealthy</t>
  </si>
  <si>
    <t>Projected Claims</t>
  </si>
  <si>
    <t>Age Category</t>
  </si>
  <si>
    <t>Avg Claim Amount</t>
  </si>
  <si>
    <t>Gender</t>
  </si>
  <si>
    <t>Age</t>
  </si>
  <si>
    <t>Condition</t>
  </si>
  <si>
    <t>Name</t>
  </si>
  <si>
    <t>Poilcyholder #1</t>
  </si>
  <si>
    <t>Poilcyholder #2</t>
  </si>
  <si>
    <t>Poilcyholder #3</t>
  </si>
  <si>
    <t>Poilcyholder #4</t>
  </si>
  <si>
    <t>Poilcyholder #5</t>
  </si>
  <si>
    <t>Poilcyholder #6</t>
  </si>
  <si>
    <t>Poilcyholder #7</t>
  </si>
  <si>
    <t>Poilcyholder #8</t>
  </si>
  <si>
    <t>Poilcyholder #9</t>
  </si>
  <si>
    <t>Poilcyholder #10</t>
  </si>
  <si>
    <t>Poilcyholder #11</t>
  </si>
  <si>
    <t>Poilcyholder #12</t>
  </si>
  <si>
    <t>Poilcyholder #13</t>
  </si>
  <si>
    <t>Poilcyholder #14</t>
  </si>
  <si>
    <t>Poilcyholder #15</t>
  </si>
  <si>
    <t>Poilcyholder #16</t>
  </si>
  <si>
    <t>Poilcyholder #17</t>
  </si>
  <si>
    <t>Poilcyholder #18</t>
  </si>
  <si>
    <t>Poilcyholder #19</t>
  </si>
  <si>
    <t>Poilcyholder #20</t>
  </si>
  <si>
    <t>Poilcyholder #21</t>
  </si>
  <si>
    <t>Poilcyholder #22</t>
  </si>
  <si>
    <t>Poilcyholder #23</t>
  </si>
  <si>
    <t>Poilcyholder #24</t>
  </si>
  <si>
    <t>Poilcyholder #25</t>
  </si>
  <si>
    <t>Poilcyholder #26</t>
  </si>
  <si>
    <t>Poilcyholder #27</t>
  </si>
  <si>
    <t>Poilcyholder #28</t>
  </si>
  <si>
    <t>Poilcyholder #29</t>
  </si>
  <si>
    <t>Poilcyholder #30</t>
  </si>
  <si>
    <t>Poilcyholder #31</t>
  </si>
  <si>
    <t>Poilcyholder #32</t>
  </si>
  <si>
    <t>Poilcyholder #33</t>
  </si>
  <si>
    <t>Poilcyholder #34</t>
  </si>
  <si>
    <t>Poilcyholder #35</t>
  </si>
  <si>
    <t>Poilcyholder #36</t>
  </si>
  <si>
    <t>Poilcyholder #37</t>
  </si>
  <si>
    <t>Poilcyholder #38</t>
  </si>
  <si>
    <t>Poilcyholder #39</t>
  </si>
  <si>
    <t>Poilcyholder #40</t>
  </si>
  <si>
    <t>Poilcyholder #41</t>
  </si>
  <si>
    <t>Poilcyholder #42</t>
  </si>
  <si>
    <t>Poilcyholder #43</t>
  </si>
  <si>
    <t>Poilcyholder #44</t>
  </si>
  <si>
    <t>Poilcyholder #45</t>
  </si>
  <si>
    <t>Poilcyholder #46</t>
  </si>
  <si>
    <t>Poilcyholder #47</t>
  </si>
  <si>
    <t>Poilcyholder #48</t>
  </si>
  <si>
    <t>Poilcyholder #49</t>
  </si>
  <si>
    <t>Poilcyholder #50</t>
  </si>
  <si>
    <t>Poilcyholder #51</t>
  </si>
  <si>
    <t>Poilcyholder #52</t>
  </si>
  <si>
    <t>Poilcyholder #53</t>
  </si>
  <si>
    <t>Poilcyholder #54</t>
  </si>
  <si>
    <t>Poilcyholder #55</t>
  </si>
  <si>
    <t>Poilcyholder #56</t>
  </si>
  <si>
    <t>Poilcyholder #57</t>
  </si>
  <si>
    <t>Poilcyholder #58</t>
  </si>
  <si>
    <t>Poilcyholder #59</t>
  </si>
  <si>
    <t>Poilcyholder #60</t>
  </si>
  <si>
    <t>Poilcyholder #61</t>
  </si>
  <si>
    <t>Poilcyholder #62</t>
  </si>
  <si>
    <t>Poilcyholder #63</t>
  </si>
  <si>
    <t>Poilcyholder #64</t>
  </si>
  <si>
    <t>Poilcyholder #65</t>
  </si>
  <si>
    <t>Poilcyholder #66</t>
  </si>
  <si>
    <t>Poilcyholder #67</t>
  </si>
  <si>
    <t>Poilcyholder #68</t>
  </si>
  <si>
    <t>Poilcyholder #69</t>
  </si>
  <si>
    <t>Poilcyholder #70</t>
  </si>
  <si>
    <t>Poilcyholder #71</t>
  </si>
  <si>
    <t>Poilcyholder #72</t>
  </si>
  <si>
    <t>Poilcyholder #73</t>
  </si>
  <si>
    <t>Poilcyholder #74</t>
  </si>
  <si>
    <t>Poilcyholder #75</t>
  </si>
  <si>
    <t>Poilcyholder #76</t>
  </si>
  <si>
    <t>Poilcyholder #77</t>
  </si>
  <si>
    <t>Poilcyholder #78</t>
  </si>
  <si>
    <t>Poilcyholder #79</t>
  </si>
  <si>
    <t>Poilcyholder #80</t>
  </si>
  <si>
    <t>Poilcyholder #81</t>
  </si>
  <si>
    <t>Poilcyholder #82</t>
  </si>
  <si>
    <t>Poilcyholder #83</t>
  </si>
  <si>
    <t>Poilcyholder #84</t>
  </si>
  <si>
    <t>Poilcyholder #85</t>
  </si>
  <si>
    <t>Poilcyholder #86</t>
  </si>
  <si>
    <t>Poilcyholder #87</t>
  </si>
  <si>
    <t>Poilcyholder #88</t>
  </si>
  <si>
    <t>Poilcyholder #89</t>
  </si>
  <si>
    <t>Poilcyholder #90</t>
  </si>
  <si>
    <t>Poilcyholder #91</t>
  </si>
  <si>
    <t>Poilcyholder #92</t>
  </si>
  <si>
    <t>Poilcyholder #93</t>
  </si>
  <si>
    <t>Poilcyholder #94</t>
  </si>
  <si>
    <t>Poilcyholder #95</t>
  </si>
  <si>
    <t>Poilcyholder #96</t>
  </si>
  <si>
    <t>Poilcyholder #97</t>
  </si>
  <si>
    <t>Poilcyholder #98</t>
  </si>
  <si>
    <t>Poilcyholder #99</t>
  </si>
  <si>
    <t>Poilcyholder #100</t>
  </si>
  <si>
    <t>Total Claims</t>
  </si>
  <si>
    <t>Total Projected Claims</t>
  </si>
  <si>
    <t>Policy Year</t>
  </si>
  <si>
    <t>Age Bracket</t>
  </si>
  <si>
    <t xml:space="preserve">Male </t>
  </si>
  <si>
    <t>Health Condition</t>
  </si>
  <si>
    <t>Inputs</t>
  </si>
  <si>
    <t>Claim Projections</t>
  </si>
  <si>
    <t>Reference Tables</t>
  </si>
  <si>
    <t>Poilcyholder #101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</si>
</sst>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* #,##0.00_-;\-&quot;$&quot;* #,##0.00_-;_-&quot;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10" fontId="0" fillId="0" borderId="1" xfId="2" applyNumberFormat="1" applyFont="1" applyBorder="1"/>
    <xf numFmtId="0" fontId="0" fillId="0" borderId="0" xfId="0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164" fontId="0" fillId="0" borderId="6" xfId="1" applyFont="1" applyBorder="1"/>
    <xf numFmtId="10" fontId="0" fillId="0" borderId="2" xfId="2" applyNumberFormat="1" applyFont="1" applyBorder="1"/>
    <xf numFmtId="164" fontId="0" fillId="0" borderId="7" xfId="1" applyFont="1" applyBorder="1"/>
    <xf numFmtId="0" fontId="4" fillId="6" borderId="1" xfId="0" applyFont="1" applyFill="1" applyBorder="1"/>
    <xf numFmtId="0" fontId="4" fillId="5" borderId="3" xfId="0" applyFont="1" applyFill="1" applyBorder="1"/>
    <xf numFmtId="0" fontId="4" fillId="5" borderId="7" xfId="0" applyFont="1" applyFill="1" applyBorder="1"/>
    <xf numFmtId="0" fontId="4" fillId="5" borderId="3" xfId="0" applyFont="1" applyFill="1" applyBorder="1" applyAlignment="1">
      <alignment horizontal="center" vertical="center" wrapText="1"/>
    </xf>
    <xf numFmtId="0" fontId="4" fillId="0" borderId="0" xfId="0" applyFont="1"/>
    <xf numFmtId="0" fontId="0" fillId="0" borderId="10" xfId="0" applyBorder="1"/>
    <xf numFmtId="0" fontId="3" fillId="7" borderId="0" xfId="0" applyFont="1" applyFill="1"/>
    <xf numFmtId="0" fontId="3" fillId="7" borderId="10" xfId="0" applyFont="1" applyFill="1" applyBorder="1"/>
    <xf numFmtId="0" fontId="0" fillId="0" borderId="13" xfId="0" applyBorder="1"/>
    <xf numFmtId="0" fontId="0" fillId="0" borderId="12" xfId="0" applyBorder="1"/>
    <xf numFmtId="0" fontId="6" fillId="8" borderId="1" xfId="0" applyFont="1" applyFill="1" applyBorder="1"/>
    <xf numFmtId="0" fontId="3" fillId="8" borderId="11" xfId="0" applyFont="1" applyFill="1" applyBorder="1"/>
    <xf numFmtId="2" fontId="0" fillId="0" borderId="11" xfId="0" applyNumberFormat="1" applyBorder="1"/>
    <xf numFmtId="2" fontId="0" fillId="0" borderId="14" xfId="0" applyNumberFormat="1" applyBorder="1"/>
    <xf numFmtId="10" fontId="0" fillId="0" borderId="15" xfId="2" applyNumberFormat="1" applyFont="1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4" borderId="16" xfId="0" applyFill="1" applyBorder="1"/>
    <xf numFmtId="10" fontId="0" fillId="0" borderId="17" xfId="2" applyNumberFormat="1" applyFont="1" applyBorder="1"/>
    <xf numFmtId="0" fontId="4" fillId="5" borderId="18" xfId="0" applyFont="1" applyFill="1" applyBorder="1"/>
    <xf numFmtId="0" fontId="4" fillId="9" borderId="19" xfId="0" applyFont="1" applyFill="1" applyBorder="1"/>
    <xf numFmtId="0" fontId="0" fillId="9" borderId="20" xfId="0" applyFill="1" applyBorder="1"/>
    <xf numFmtId="0" fontId="0" fillId="9" borderId="21" xfId="0" applyFill="1" applyBorder="1"/>
    <xf numFmtId="0" fontId="4" fillId="6" borderId="14" xfId="0" applyFont="1" applyFill="1" applyBorder="1"/>
    <xf numFmtId="0" fontId="0" fillId="0" borderId="14" xfId="0" applyBorder="1"/>
    <xf numFmtId="0" fontId="4" fillId="10" borderId="1" xfId="0" applyFont="1" applyFill="1" applyBorder="1" applyAlignment="1">
      <alignment horizontal="center"/>
    </xf>
    <xf numFmtId="0" fontId="4" fillId="11" borderId="19" xfId="0" applyFont="1" applyFill="1" applyBorder="1"/>
    <xf numFmtId="0" fontId="0" fillId="11" borderId="21" xfId="0" applyFill="1" applyBorder="1"/>
    <xf numFmtId="0" fontId="7" fillId="0" borderId="0" xfId="0" applyFont="1" applyAlignment="1">
      <alignment horizontal="centerContinuous" vertical="center"/>
    </xf>
    <xf numFmtId="0" fontId="8" fillId="0" borderId="0" xfId="0" applyFont="1"/>
    <xf numFmtId="0" fontId="8" fillId="0" borderId="0" xfId="0" applyFont="1" applyAlignment="1">
      <alignment horizontal="centerContinuous" vertical="center"/>
    </xf>
    <xf numFmtId="0" fontId="8" fillId="12" borderId="0" xfId="0" applyFont="1" applyFill="1" applyAlignment="1">
      <alignment horizontal="centerContinuous"/>
    </xf>
    <xf numFmtId="0" fontId="0" fillId="12" borderId="0" xfId="0" applyFill="1" applyAlignment="1">
      <alignment horizontal="centerContinuous"/>
    </xf>
    <xf numFmtId="0" fontId="0" fillId="12" borderId="0" xfId="0" applyFill="1"/>
    <xf numFmtId="0" fontId="5" fillId="0" borderId="1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BD8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3</xdr:row>
      <xdr:rowOff>177800</xdr:rowOff>
    </xdr:from>
    <xdr:to>
      <xdr:col>10</xdr:col>
      <xdr:colOff>762000</xdr:colOff>
      <xdr:row>9</xdr:row>
      <xdr:rowOff>50800</xdr:rowOff>
    </xdr:to>
    <xdr:sp macro="[0]!total_claim_projection" textlink="">
      <xdr:nvSpPr>
        <xdr:cNvPr id="3" name="Rounded Rectangle 2">
          <a:extLst>
            <a:ext uri="{FF2B5EF4-FFF2-40B4-BE49-F238E27FC236}">
              <a16:creationId xmlns:a16="http://schemas.microsoft.com/office/drawing/2014/main" id="{825A6FF8-FB87-9740-9E66-4B929163CBD2}"/>
            </a:ext>
          </a:extLst>
        </xdr:cNvPr>
        <xdr:cNvSpPr/>
      </xdr:nvSpPr>
      <xdr:spPr>
        <a:xfrm>
          <a:off x="5295900" y="749300"/>
          <a:ext cx="4038600" cy="1016000"/>
        </a:xfrm>
        <a:prstGeom prst="roundRect">
          <a:avLst/>
        </a:prstGeom>
        <a:solidFill>
          <a:srgbClr val="BD8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/>
            <a:t>Calculate</a:t>
          </a:r>
          <a:r>
            <a:rPr lang="en-US" sz="2400" b="1" baseline="0"/>
            <a:t> </a:t>
          </a:r>
          <a:br>
            <a:rPr lang="en-US" sz="2400" b="1" baseline="0"/>
          </a:br>
          <a:r>
            <a:rPr lang="en-US" sz="2400" b="1" baseline="0"/>
            <a:t>Total Claim Projections! </a:t>
          </a:r>
          <a:endParaRPr lang="en-US" sz="2400" b="1"/>
        </a:p>
      </xdr:txBody>
    </xdr:sp>
    <xdr:clientData/>
  </xdr:twoCellAnchor>
  <xdr:twoCellAnchor>
    <xdr:from>
      <xdr:col>6</xdr:col>
      <xdr:colOff>0</xdr:colOff>
      <xdr:row>11</xdr:row>
      <xdr:rowOff>38100</xdr:rowOff>
    </xdr:from>
    <xdr:to>
      <xdr:col>10</xdr:col>
      <xdr:colOff>736600</xdr:colOff>
      <xdr:row>16</xdr:row>
      <xdr:rowOff>101600</xdr:rowOff>
    </xdr:to>
    <xdr:sp macro="[0]!ResetValues" textlink="">
      <xdr:nvSpPr>
        <xdr:cNvPr id="4" name="Rounded Rectangle 3">
          <a:extLst>
            <a:ext uri="{FF2B5EF4-FFF2-40B4-BE49-F238E27FC236}">
              <a16:creationId xmlns:a16="http://schemas.microsoft.com/office/drawing/2014/main" id="{23BDA046-C73A-0244-8D7C-C6FF5888C2BF}"/>
            </a:ext>
          </a:extLst>
        </xdr:cNvPr>
        <xdr:cNvSpPr/>
      </xdr:nvSpPr>
      <xdr:spPr>
        <a:xfrm>
          <a:off x="5270500" y="2133600"/>
          <a:ext cx="4038600" cy="1016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 b="1"/>
            <a:t>Clear</a:t>
          </a:r>
          <a:r>
            <a:rPr lang="en-US" sz="3600" b="1" baseline="0"/>
            <a:t> Values</a:t>
          </a:r>
          <a:endParaRPr lang="en-US" sz="3600" b="1"/>
        </a:p>
      </xdr:txBody>
    </xdr:sp>
    <xdr:clientData/>
  </xdr:twoCellAnchor>
  <xdr:oneCellAnchor>
    <xdr:from>
      <xdr:col>15</xdr:col>
      <xdr:colOff>711200</xdr:colOff>
      <xdr:row>30</xdr:row>
      <xdr:rowOff>177800</xdr:rowOff>
    </xdr:from>
    <xdr:ext cx="184731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2719837-A80E-DE47-8FC1-6781C1569A29}"/>
            </a:ext>
          </a:extLst>
        </xdr:cNvPr>
        <xdr:cNvSpPr txBox="1"/>
      </xdr:nvSpPr>
      <xdr:spPr>
        <a:xfrm>
          <a:off x="13411200" y="5892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1BB8D-152A-EF43-902A-76BB97CA4B9B}">
  <sheetPr codeName="PHdata"/>
  <dimension ref="A1:E102"/>
  <sheetViews>
    <sheetView zoomScale="125" workbookViewId="0">
      <pane ySplit="1" topLeftCell="A2" activePane="bottomLeft" state="frozen"/>
      <selection pane="bottomLeft" activeCell="D10" sqref="D10"/>
    </sheetView>
  </sheetViews>
  <sheetFormatPr baseColWidth="10" defaultRowHeight="15" x14ac:dyDescent="0.2"/>
  <cols>
    <col min="1" max="1" width="15" bestFit="1" customWidth="1"/>
  </cols>
  <sheetData>
    <row r="1" spans="1:5" s="16" customFormat="1" x14ac:dyDescent="0.2">
      <c r="A1" s="18" t="s">
        <v>10</v>
      </c>
      <c r="B1" s="18" t="s">
        <v>7</v>
      </c>
      <c r="C1" s="18" t="s">
        <v>8</v>
      </c>
      <c r="D1" s="19" t="s">
        <v>9</v>
      </c>
      <c r="E1" s="23" t="s">
        <v>111</v>
      </c>
    </row>
    <row r="2" spans="1:5" x14ac:dyDescent="0.2">
      <c r="A2" t="s">
        <v>11</v>
      </c>
      <c r="B2" t="s">
        <v>1</v>
      </c>
      <c r="C2">
        <v>63</v>
      </c>
      <c r="D2" s="17">
        <v>1</v>
      </c>
      <c r="E2" s="24"/>
    </row>
    <row r="3" spans="1:5" x14ac:dyDescent="0.2">
      <c r="A3" t="s">
        <v>12</v>
      </c>
      <c r="B3" t="s">
        <v>0</v>
      </c>
      <c r="C3">
        <v>67</v>
      </c>
      <c r="D3" s="17">
        <v>2</v>
      </c>
      <c r="E3" s="24"/>
    </row>
    <row r="4" spans="1:5" x14ac:dyDescent="0.2">
      <c r="A4" t="s">
        <v>13</v>
      </c>
      <c r="B4" t="s">
        <v>1</v>
      </c>
      <c r="C4">
        <v>59</v>
      </c>
      <c r="D4" s="17">
        <v>1</v>
      </c>
      <c r="E4" s="24"/>
    </row>
    <row r="5" spans="1:5" x14ac:dyDescent="0.2">
      <c r="A5" t="s">
        <v>14</v>
      </c>
      <c r="B5" t="s">
        <v>0</v>
      </c>
      <c r="C5">
        <v>36</v>
      </c>
      <c r="D5" s="17">
        <v>1</v>
      </c>
      <c r="E5" s="24"/>
    </row>
    <row r="6" spans="1:5" x14ac:dyDescent="0.2">
      <c r="A6" t="s">
        <v>15</v>
      </c>
      <c r="B6" t="s">
        <v>1</v>
      </c>
      <c r="C6">
        <v>54</v>
      </c>
      <c r="D6" s="17">
        <v>2</v>
      </c>
      <c r="E6" s="24"/>
    </row>
    <row r="7" spans="1:5" x14ac:dyDescent="0.2">
      <c r="A7" t="s">
        <v>16</v>
      </c>
      <c r="B7" t="s">
        <v>0</v>
      </c>
      <c r="C7">
        <v>23</v>
      </c>
      <c r="D7" s="17">
        <v>1</v>
      </c>
      <c r="E7" s="24"/>
    </row>
    <row r="8" spans="1:5" x14ac:dyDescent="0.2">
      <c r="A8" t="s">
        <v>17</v>
      </c>
      <c r="B8" t="s">
        <v>0</v>
      </c>
      <c r="C8">
        <v>46</v>
      </c>
      <c r="D8" s="17">
        <v>2</v>
      </c>
      <c r="E8" s="24"/>
    </row>
    <row r="9" spans="1:5" x14ac:dyDescent="0.2">
      <c r="A9" t="s">
        <v>18</v>
      </c>
      <c r="B9" t="s">
        <v>1</v>
      </c>
      <c r="C9">
        <v>49</v>
      </c>
      <c r="D9" s="17">
        <v>2</v>
      </c>
      <c r="E9" s="24"/>
    </row>
    <row r="10" spans="1:5" x14ac:dyDescent="0.2">
      <c r="A10" t="s">
        <v>19</v>
      </c>
      <c r="B10" t="s">
        <v>1</v>
      </c>
      <c r="C10">
        <v>61</v>
      </c>
      <c r="D10" s="17">
        <v>2</v>
      </c>
      <c r="E10" s="24"/>
    </row>
    <row r="11" spans="1:5" x14ac:dyDescent="0.2">
      <c r="A11" t="s">
        <v>20</v>
      </c>
      <c r="B11" t="s">
        <v>1</v>
      </c>
      <c r="C11">
        <v>67</v>
      </c>
      <c r="D11" s="17">
        <v>1</v>
      </c>
      <c r="E11" s="24"/>
    </row>
    <row r="12" spans="1:5" x14ac:dyDescent="0.2">
      <c r="A12" t="s">
        <v>21</v>
      </c>
      <c r="B12" t="s">
        <v>0</v>
      </c>
      <c r="C12">
        <v>21</v>
      </c>
      <c r="D12" s="17">
        <v>1</v>
      </c>
      <c r="E12" s="24"/>
    </row>
    <row r="13" spans="1:5" x14ac:dyDescent="0.2">
      <c r="A13" t="s">
        <v>22</v>
      </c>
      <c r="B13" t="s">
        <v>0</v>
      </c>
      <c r="C13">
        <v>41</v>
      </c>
      <c r="D13" s="17">
        <v>1</v>
      </c>
      <c r="E13" s="24"/>
    </row>
    <row r="14" spans="1:5" x14ac:dyDescent="0.2">
      <c r="A14" t="s">
        <v>23</v>
      </c>
      <c r="B14" t="s">
        <v>1</v>
      </c>
      <c r="C14">
        <v>32</v>
      </c>
      <c r="D14" s="17">
        <v>1</v>
      </c>
      <c r="E14" s="24"/>
    </row>
    <row r="15" spans="1:5" x14ac:dyDescent="0.2">
      <c r="A15" t="s">
        <v>24</v>
      </c>
      <c r="B15" t="s">
        <v>1</v>
      </c>
      <c r="C15">
        <v>43</v>
      </c>
      <c r="D15" s="17">
        <v>1</v>
      </c>
      <c r="E15" s="24"/>
    </row>
    <row r="16" spans="1:5" x14ac:dyDescent="0.2">
      <c r="A16" t="s">
        <v>25</v>
      </c>
      <c r="B16" t="s">
        <v>1</v>
      </c>
      <c r="C16">
        <v>55</v>
      </c>
      <c r="D16" s="17">
        <v>1</v>
      </c>
      <c r="E16" s="24"/>
    </row>
    <row r="17" spans="1:5" x14ac:dyDescent="0.2">
      <c r="A17" t="s">
        <v>26</v>
      </c>
      <c r="B17" t="s">
        <v>0</v>
      </c>
      <c r="C17">
        <v>41</v>
      </c>
      <c r="D17" s="17">
        <v>2</v>
      </c>
      <c r="E17" s="24"/>
    </row>
    <row r="18" spans="1:5" x14ac:dyDescent="0.2">
      <c r="A18" t="s">
        <v>27</v>
      </c>
      <c r="B18" t="s">
        <v>0</v>
      </c>
      <c r="C18">
        <v>64</v>
      </c>
      <c r="D18" s="17">
        <v>1</v>
      </c>
      <c r="E18" s="24"/>
    </row>
    <row r="19" spans="1:5" x14ac:dyDescent="0.2">
      <c r="A19" t="s">
        <v>28</v>
      </c>
      <c r="B19" t="s">
        <v>1</v>
      </c>
      <c r="C19">
        <v>50</v>
      </c>
      <c r="D19" s="17">
        <v>2</v>
      </c>
      <c r="E19" s="24"/>
    </row>
    <row r="20" spans="1:5" x14ac:dyDescent="0.2">
      <c r="A20" t="s">
        <v>29</v>
      </c>
      <c r="B20" t="s">
        <v>1</v>
      </c>
      <c r="C20">
        <v>28</v>
      </c>
      <c r="D20" s="17">
        <v>1</v>
      </c>
      <c r="E20" s="24"/>
    </row>
    <row r="21" spans="1:5" x14ac:dyDescent="0.2">
      <c r="A21" t="s">
        <v>30</v>
      </c>
      <c r="B21" t="s">
        <v>1</v>
      </c>
      <c r="C21">
        <v>40</v>
      </c>
      <c r="D21" s="17">
        <v>2</v>
      </c>
      <c r="E21" s="24"/>
    </row>
    <row r="22" spans="1:5" x14ac:dyDescent="0.2">
      <c r="A22" t="s">
        <v>31</v>
      </c>
      <c r="B22" t="s">
        <v>1</v>
      </c>
      <c r="C22">
        <v>44</v>
      </c>
      <c r="D22" s="17">
        <v>1</v>
      </c>
      <c r="E22" s="24"/>
    </row>
    <row r="23" spans="1:5" x14ac:dyDescent="0.2">
      <c r="A23" t="s">
        <v>32</v>
      </c>
      <c r="B23" t="s">
        <v>0</v>
      </c>
      <c r="C23">
        <v>28</v>
      </c>
      <c r="D23" s="17">
        <v>1</v>
      </c>
      <c r="E23" s="24"/>
    </row>
    <row r="24" spans="1:5" x14ac:dyDescent="0.2">
      <c r="A24" t="s">
        <v>33</v>
      </c>
      <c r="B24" t="s">
        <v>1</v>
      </c>
      <c r="C24">
        <v>43</v>
      </c>
      <c r="D24" s="17">
        <v>1</v>
      </c>
      <c r="E24" s="24"/>
    </row>
    <row r="25" spans="1:5" x14ac:dyDescent="0.2">
      <c r="A25" t="s">
        <v>34</v>
      </c>
      <c r="B25" t="s">
        <v>0</v>
      </c>
      <c r="C25">
        <v>68</v>
      </c>
      <c r="D25" s="17">
        <v>2</v>
      </c>
      <c r="E25" s="24"/>
    </row>
    <row r="26" spans="1:5" x14ac:dyDescent="0.2">
      <c r="A26" t="s">
        <v>35</v>
      </c>
      <c r="B26" t="s">
        <v>0</v>
      </c>
      <c r="C26">
        <v>38</v>
      </c>
      <c r="D26" s="17">
        <v>1</v>
      </c>
      <c r="E26" s="24"/>
    </row>
    <row r="27" spans="1:5" x14ac:dyDescent="0.2">
      <c r="A27" t="s">
        <v>36</v>
      </c>
      <c r="B27" t="s">
        <v>1</v>
      </c>
      <c r="C27">
        <v>57</v>
      </c>
      <c r="D27" s="17">
        <v>2</v>
      </c>
      <c r="E27" s="24"/>
    </row>
    <row r="28" spans="1:5" x14ac:dyDescent="0.2">
      <c r="A28" t="s">
        <v>37</v>
      </c>
      <c r="B28" t="s">
        <v>0</v>
      </c>
      <c r="C28">
        <v>46</v>
      </c>
      <c r="D28" s="17">
        <v>1</v>
      </c>
      <c r="E28" s="24"/>
    </row>
    <row r="29" spans="1:5" x14ac:dyDescent="0.2">
      <c r="A29" t="s">
        <v>38</v>
      </c>
      <c r="B29" t="s">
        <v>1</v>
      </c>
      <c r="C29">
        <v>48</v>
      </c>
      <c r="D29" s="17">
        <v>1</v>
      </c>
      <c r="E29" s="24"/>
    </row>
    <row r="30" spans="1:5" x14ac:dyDescent="0.2">
      <c r="A30" t="s">
        <v>39</v>
      </c>
      <c r="B30" t="s">
        <v>1</v>
      </c>
      <c r="C30">
        <v>64</v>
      </c>
      <c r="D30" s="17">
        <v>1</v>
      </c>
      <c r="E30" s="24"/>
    </row>
    <row r="31" spans="1:5" x14ac:dyDescent="0.2">
      <c r="A31" t="s">
        <v>40</v>
      </c>
      <c r="B31" t="s">
        <v>0</v>
      </c>
      <c r="C31">
        <v>35</v>
      </c>
      <c r="D31" s="17">
        <v>2</v>
      </c>
      <c r="E31" s="24"/>
    </row>
    <row r="32" spans="1:5" x14ac:dyDescent="0.2">
      <c r="A32" t="s">
        <v>41</v>
      </c>
      <c r="B32" t="s">
        <v>0</v>
      </c>
      <c r="C32">
        <v>48</v>
      </c>
      <c r="D32" s="17">
        <v>1</v>
      </c>
      <c r="E32" s="24"/>
    </row>
    <row r="33" spans="1:5" x14ac:dyDescent="0.2">
      <c r="A33" t="s">
        <v>42</v>
      </c>
      <c r="B33" t="s">
        <v>0</v>
      </c>
      <c r="C33">
        <v>58</v>
      </c>
      <c r="D33" s="17">
        <v>2</v>
      </c>
      <c r="E33" s="24"/>
    </row>
    <row r="34" spans="1:5" x14ac:dyDescent="0.2">
      <c r="A34" t="s">
        <v>43</v>
      </c>
      <c r="B34" t="s">
        <v>0</v>
      </c>
      <c r="C34">
        <v>44</v>
      </c>
      <c r="D34" s="17">
        <v>2</v>
      </c>
      <c r="E34" s="24"/>
    </row>
    <row r="35" spans="1:5" x14ac:dyDescent="0.2">
      <c r="A35" t="s">
        <v>44</v>
      </c>
      <c r="B35" t="s">
        <v>1</v>
      </c>
      <c r="C35">
        <v>23</v>
      </c>
      <c r="D35" s="17">
        <v>2</v>
      </c>
      <c r="E35" s="24"/>
    </row>
    <row r="36" spans="1:5" x14ac:dyDescent="0.2">
      <c r="A36" t="s">
        <v>45</v>
      </c>
      <c r="B36" t="s">
        <v>0</v>
      </c>
      <c r="C36">
        <v>60</v>
      </c>
      <c r="D36" s="17">
        <v>2</v>
      </c>
      <c r="E36" s="24"/>
    </row>
    <row r="37" spans="1:5" x14ac:dyDescent="0.2">
      <c r="A37" t="s">
        <v>46</v>
      </c>
      <c r="B37" t="s">
        <v>0</v>
      </c>
      <c r="C37">
        <v>37</v>
      </c>
      <c r="D37" s="17">
        <v>1</v>
      </c>
      <c r="E37" s="24"/>
    </row>
    <row r="38" spans="1:5" x14ac:dyDescent="0.2">
      <c r="A38" t="s">
        <v>47</v>
      </c>
      <c r="B38" t="s">
        <v>0</v>
      </c>
      <c r="C38">
        <v>65</v>
      </c>
      <c r="D38" s="17">
        <v>1</v>
      </c>
      <c r="E38" s="24"/>
    </row>
    <row r="39" spans="1:5" x14ac:dyDescent="0.2">
      <c r="A39" t="s">
        <v>48</v>
      </c>
      <c r="B39" t="s">
        <v>1</v>
      </c>
      <c r="C39">
        <v>41</v>
      </c>
      <c r="D39" s="17">
        <v>1</v>
      </c>
      <c r="E39" s="24"/>
    </row>
    <row r="40" spans="1:5" x14ac:dyDescent="0.2">
      <c r="A40" t="s">
        <v>49</v>
      </c>
      <c r="B40" t="s">
        <v>1</v>
      </c>
      <c r="C40">
        <v>46</v>
      </c>
      <c r="D40" s="17">
        <v>2</v>
      </c>
      <c r="E40" s="24"/>
    </row>
    <row r="41" spans="1:5" x14ac:dyDescent="0.2">
      <c r="A41" t="s">
        <v>50</v>
      </c>
      <c r="B41" t="s">
        <v>0</v>
      </c>
      <c r="C41">
        <v>24</v>
      </c>
      <c r="D41" s="17">
        <v>2</v>
      </c>
      <c r="E41" s="24"/>
    </row>
    <row r="42" spans="1:5" x14ac:dyDescent="0.2">
      <c r="A42" t="s">
        <v>51</v>
      </c>
      <c r="B42" t="s">
        <v>0</v>
      </c>
      <c r="C42">
        <v>29</v>
      </c>
      <c r="D42" s="17">
        <v>1</v>
      </c>
      <c r="E42" s="24"/>
    </row>
    <row r="43" spans="1:5" x14ac:dyDescent="0.2">
      <c r="A43" t="s">
        <v>52</v>
      </c>
      <c r="B43" t="s">
        <v>0</v>
      </c>
      <c r="C43">
        <v>22</v>
      </c>
      <c r="D43" s="17">
        <v>2</v>
      </c>
      <c r="E43" s="24"/>
    </row>
    <row r="44" spans="1:5" x14ac:dyDescent="0.2">
      <c r="A44" t="s">
        <v>53</v>
      </c>
      <c r="B44" t="s">
        <v>0</v>
      </c>
      <c r="C44">
        <v>49</v>
      </c>
      <c r="D44" s="17">
        <v>1</v>
      </c>
      <c r="E44" s="24"/>
    </row>
    <row r="45" spans="1:5" x14ac:dyDescent="0.2">
      <c r="A45" t="s">
        <v>54</v>
      </c>
      <c r="B45" t="s">
        <v>0</v>
      </c>
      <c r="C45">
        <v>51</v>
      </c>
      <c r="D45" s="17">
        <v>2</v>
      </c>
      <c r="E45" s="24"/>
    </row>
    <row r="46" spans="1:5" x14ac:dyDescent="0.2">
      <c r="A46" t="s">
        <v>55</v>
      </c>
      <c r="B46" t="s">
        <v>1</v>
      </c>
      <c r="C46">
        <v>32</v>
      </c>
      <c r="D46" s="17">
        <v>1</v>
      </c>
      <c r="E46" s="24"/>
    </row>
    <row r="47" spans="1:5" x14ac:dyDescent="0.2">
      <c r="A47" t="s">
        <v>56</v>
      </c>
      <c r="B47" t="s">
        <v>1</v>
      </c>
      <c r="C47">
        <v>64</v>
      </c>
      <c r="D47" s="17">
        <v>1</v>
      </c>
      <c r="E47" s="24"/>
    </row>
    <row r="48" spans="1:5" x14ac:dyDescent="0.2">
      <c r="A48" t="s">
        <v>57</v>
      </c>
      <c r="B48" t="s">
        <v>1</v>
      </c>
      <c r="C48">
        <v>32</v>
      </c>
      <c r="D48" s="17">
        <v>2</v>
      </c>
      <c r="E48" s="24"/>
    </row>
    <row r="49" spans="1:5" x14ac:dyDescent="0.2">
      <c r="A49" t="s">
        <v>58</v>
      </c>
      <c r="B49" t="s">
        <v>0</v>
      </c>
      <c r="C49">
        <v>51</v>
      </c>
      <c r="D49" s="17">
        <v>1</v>
      </c>
      <c r="E49" s="24"/>
    </row>
    <row r="50" spans="1:5" x14ac:dyDescent="0.2">
      <c r="A50" t="s">
        <v>59</v>
      </c>
      <c r="B50" t="s">
        <v>1</v>
      </c>
      <c r="C50">
        <v>49</v>
      </c>
      <c r="D50" s="17">
        <v>2</v>
      </c>
      <c r="E50" s="24"/>
    </row>
    <row r="51" spans="1:5" x14ac:dyDescent="0.2">
      <c r="A51" t="s">
        <v>60</v>
      </c>
      <c r="B51" t="s">
        <v>0</v>
      </c>
      <c r="C51">
        <v>50</v>
      </c>
      <c r="D51" s="17">
        <v>1</v>
      </c>
      <c r="E51" s="24"/>
    </row>
    <row r="52" spans="1:5" x14ac:dyDescent="0.2">
      <c r="A52" t="s">
        <v>61</v>
      </c>
      <c r="B52" t="s">
        <v>0</v>
      </c>
      <c r="C52">
        <v>65</v>
      </c>
      <c r="D52" s="17">
        <v>1</v>
      </c>
      <c r="E52" s="24"/>
    </row>
    <row r="53" spans="1:5" x14ac:dyDescent="0.2">
      <c r="A53" t="s">
        <v>62</v>
      </c>
      <c r="B53" t="s">
        <v>1</v>
      </c>
      <c r="C53">
        <v>48</v>
      </c>
      <c r="D53" s="17">
        <v>2</v>
      </c>
      <c r="E53" s="24"/>
    </row>
    <row r="54" spans="1:5" x14ac:dyDescent="0.2">
      <c r="A54" t="s">
        <v>63</v>
      </c>
      <c r="B54" t="s">
        <v>1</v>
      </c>
      <c r="C54">
        <v>54</v>
      </c>
      <c r="D54" s="17">
        <v>2</v>
      </c>
      <c r="E54" s="24"/>
    </row>
    <row r="55" spans="1:5" x14ac:dyDescent="0.2">
      <c r="A55" t="s">
        <v>64</v>
      </c>
      <c r="B55" t="s">
        <v>0</v>
      </c>
      <c r="C55">
        <v>31</v>
      </c>
      <c r="D55" s="17">
        <v>2</v>
      </c>
      <c r="E55" s="24"/>
    </row>
    <row r="56" spans="1:5" x14ac:dyDescent="0.2">
      <c r="A56" t="s">
        <v>65</v>
      </c>
      <c r="B56" t="s">
        <v>0</v>
      </c>
      <c r="C56">
        <v>36</v>
      </c>
      <c r="D56" s="17">
        <v>2</v>
      </c>
      <c r="E56" s="24"/>
    </row>
    <row r="57" spans="1:5" x14ac:dyDescent="0.2">
      <c r="A57" t="s">
        <v>66</v>
      </c>
      <c r="B57" t="s">
        <v>0</v>
      </c>
      <c r="C57">
        <v>54</v>
      </c>
      <c r="D57" s="17">
        <v>1</v>
      </c>
      <c r="E57" s="24"/>
    </row>
    <row r="58" spans="1:5" x14ac:dyDescent="0.2">
      <c r="A58" t="s">
        <v>67</v>
      </c>
      <c r="B58" t="s">
        <v>1</v>
      </c>
      <c r="C58">
        <v>47</v>
      </c>
      <c r="D58" s="17">
        <v>2</v>
      </c>
      <c r="E58" s="24"/>
    </row>
    <row r="59" spans="1:5" x14ac:dyDescent="0.2">
      <c r="A59" t="s">
        <v>68</v>
      </c>
      <c r="B59" t="s">
        <v>0</v>
      </c>
      <c r="C59">
        <v>50</v>
      </c>
      <c r="D59" s="17">
        <v>1</v>
      </c>
      <c r="E59" s="24"/>
    </row>
    <row r="60" spans="1:5" x14ac:dyDescent="0.2">
      <c r="A60" t="s">
        <v>69</v>
      </c>
      <c r="B60" t="s">
        <v>1</v>
      </c>
      <c r="C60">
        <v>50</v>
      </c>
      <c r="D60" s="17">
        <v>2</v>
      </c>
      <c r="E60" s="24"/>
    </row>
    <row r="61" spans="1:5" x14ac:dyDescent="0.2">
      <c r="A61" t="s">
        <v>70</v>
      </c>
      <c r="B61" t="s">
        <v>0</v>
      </c>
      <c r="C61">
        <v>45</v>
      </c>
      <c r="D61" s="17">
        <v>1</v>
      </c>
      <c r="E61" s="24"/>
    </row>
    <row r="62" spans="1:5" x14ac:dyDescent="0.2">
      <c r="A62" t="s">
        <v>71</v>
      </c>
      <c r="B62" t="s">
        <v>0</v>
      </c>
      <c r="C62">
        <v>23</v>
      </c>
      <c r="D62" s="17">
        <v>1</v>
      </c>
      <c r="E62" s="24"/>
    </row>
    <row r="63" spans="1:5" x14ac:dyDescent="0.2">
      <c r="A63" t="s">
        <v>72</v>
      </c>
      <c r="B63" t="s">
        <v>1</v>
      </c>
      <c r="C63">
        <v>29</v>
      </c>
      <c r="D63" s="17">
        <v>2</v>
      </c>
      <c r="E63" s="24"/>
    </row>
    <row r="64" spans="1:5" x14ac:dyDescent="0.2">
      <c r="A64" t="s">
        <v>73</v>
      </c>
      <c r="B64" t="s">
        <v>0</v>
      </c>
      <c r="C64">
        <v>26</v>
      </c>
      <c r="D64" s="17">
        <v>1</v>
      </c>
      <c r="E64" s="24"/>
    </row>
    <row r="65" spans="1:5" x14ac:dyDescent="0.2">
      <c r="A65" t="s">
        <v>74</v>
      </c>
      <c r="B65" t="s">
        <v>1</v>
      </c>
      <c r="C65">
        <v>44</v>
      </c>
      <c r="D65" s="17">
        <v>2</v>
      </c>
      <c r="E65" s="24"/>
    </row>
    <row r="66" spans="1:5" x14ac:dyDescent="0.2">
      <c r="A66" t="s">
        <v>75</v>
      </c>
      <c r="B66" t="s">
        <v>0</v>
      </c>
      <c r="C66">
        <v>51</v>
      </c>
      <c r="D66" s="17">
        <v>1</v>
      </c>
      <c r="E66" s="24"/>
    </row>
    <row r="67" spans="1:5" x14ac:dyDescent="0.2">
      <c r="A67" t="s">
        <v>76</v>
      </c>
      <c r="B67" t="s">
        <v>0</v>
      </c>
      <c r="C67">
        <v>66</v>
      </c>
      <c r="D67" s="17">
        <v>1</v>
      </c>
      <c r="E67" s="24"/>
    </row>
    <row r="68" spans="1:5" x14ac:dyDescent="0.2">
      <c r="A68" t="s">
        <v>77</v>
      </c>
      <c r="B68" t="s">
        <v>1</v>
      </c>
      <c r="C68">
        <v>59</v>
      </c>
      <c r="D68" s="17">
        <v>2</v>
      </c>
      <c r="E68" s="24"/>
    </row>
    <row r="69" spans="1:5" x14ac:dyDescent="0.2">
      <c r="A69" t="s">
        <v>78</v>
      </c>
      <c r="B69" t="s">
        <v>0</v>
      </c>
      <c r="C69">
        <v>58</v>
      </c>
      <c r="D69" s="17">
        <v>2</v>
      </c>
      <c r="E69" s="24"/>
    </row>
    <row r="70" spans="1:5" x14ac:dyDescent="0.2">
      <c r="A70" t="s">
        <v>79</v>
      </c>
      <c r="B70" t="s">
        <v>0</v>
      </c>
      <c r="C70">
        <v>51</v>
      </c>
      <c r="D70" s="17">
        <v>1</v>
      </c>
      <c r="E70" s="24"/>
    </row>
    <row r="71" spans="1:5" x14ac:dyDescent="0.2">
      <c r="A71" t="s">
        <v>80</v>
      </c>
      <c r="B71" t="s">
        <v>0</v>
      </c>
      <c r="C71">
        <v>34</v>
      </c>
      <c r="D71" s="17">
        <v>1</v>
      </c>
      <c r="E71" s="24"/>
    </row>
    <row r="72" spans="1:5" x14ac:dyDescent="0.2">
      <c r="A72" t="s">
        <v>81</v>
      </c>
      <c r="B72" t="s">
        <v>1</v>
      </c>
      <c r="C72">
        <v>69</v>
      </c>
      <c r="D72" s="17">
        <v>2</v>
      </c>
      <c r="E72" s="24"/>
    </row>
    <row r="73" spans="1:5" x14ac:dyDescent="0.2">
      <c r="A73" t="s">
        <v>82</v>
      </c>
      <c r="B73" t="s">
        <v>1</v>
      </c>
      <c r="C73">
        <v>54</v>
      </c>
      <c r="D73" s="17">
        <v>1</v>
      </c>
      <c r="E73" s="24"/>
    </row>
    <row r="74" spans="1:5" x14ac:dyDescent="0.2">
      <c r="A74" t="s">
        <v>83</v>
      </c>
      <c r="B74" t="s">
        <v>1</v>
      </c>
      <c r="C74">
        <v>37</v>
      </c>
      <c r="D74" s="17">
        <v>1</v>
      </c>
      <c r="E74" s="24"/>
    </row>
    <row r="75" spans="1:5" x14ac:dyDescent="0.2">
      <c r="A75" t="s">
        <v>84</v>
      </c>
      <c r="B75" t="s">
        <v>1</v>
      </c>
      <c r="C75">
        <v>54</v>
      </c>
      <c r="D75" s="17">
        <v>2</v>
      </c>
      <c r="E75" s="24"/>
    </row>
    <row r="76" spans="1:5" x14ac:dyDescent="0.2">
      <c r="A76" t="s">
        <v>85</v>
      </c>
      <c r="B76" t="s">
        <v>1</v>
      </c>
      <c r="C76">
        <v>26</v>
      </c>
      <c r="D76" s="17">
        <v>2</v>
      </c>
      <c r="E76" s="24"/>
    </row>
    <row r="77" spans="1:5" x14ac:dyDescent="0.2">
      <c r="A77" t="s">
        <v>86</v>
      </c>
      <c r="B77" t="s">
        <v>0</v>
      </c>
      <c r="C77">
        <v>65</v>
      </c>
      <c r="D77" s="17">
        <v>1</v>
      </c>
      <c r="E77" s="24"/>
    </row>
    <row r="78" spans="1:5" x14ac:dyDescent="0.2">
      <c r="A78" t="s">
        <v>87</v>
      </c>
      <c r="B78" t="s">
        <v>1</v>
      </c>
      <c r="C78">
        <v>50</v>
      </c>
      <c r="D78" s="17">
        <v>1</v>
      </c>
      <c r="E78" s="24"/>
    </row>
    <row r="79" spans="1:5" x14ac:dyDescent="0.2">
      <c r="A79" t="s">
        <v>88</v>
      </c>
      <c r="B79" t="s">
        <v>0</v>
      </c>
      <c r="C79">
        <v>57</v>
      </c>
      <c r="D79" s="17">
        <v>2</v>
      </c>
      <c r="E79" s="24"/>
    </row>
    <row r="80" spans="1:5" x14ac:dyDescent="0.2">
      <c r="A80" t="s">
        <v>89</v>
      </c>
      <c r="B80" t="s">
        <v>1</v>
      </c>
      <c r="C80">
        <v>37</v>
      </c>
      <c r="D80" s="17">
        <v>1</v>
      </c>
      <c r="E80" s="24"/>
    </row>
    <row r="81" spans="1:5" x14ac:dyDescent="0.2">
      <c r="A81" t="s">
        <v>90</v>
      </c>
      <c r="B81" t="s">
        <v>1</v>
      </c>
      <c r="C81">
        <v>47</v>
      </c>
      <c r="D81" s="17">
        <v>1</v>
      </c>
      <c r="E81" s="24"/>
    </row>
    <row r="82" spans="1:5" x14ac:dyDescent="0.2">
      <c r="A82" t="s">
        <v>91</v>
      </c>
      <c r="B82" t="s">
        <v>1</v>
      </c>
      <c r="C82">
        <v>64</v>
      </c>
      <c r="D82" s="17">
        <v>1</v>
      </c>
      <c r="E82" s="24"/>
    </row>
    <row r="83" spans="1:5" x14ac:dyDescent="0.2">
      <c r="A83" t="s">
        <v>92</v>
      </c>
      <c r="B83" t="s">
        <v>1</v>
      </c>
      <c r="C83">
        <v>35</v>
      </c>
      <c r="D83" s="17">
        <v>2</v>
      </c>
      <c r="E83" s="24"/>
    </row>
    <row r="84" spans="1:5" x14ac:dyDescent="0.2">
      <c r="A84" t="s">
        <v>93</v>
      </c>
      <c r="B84" t="s">
        <v>1</v>
      </c>
      <c r="C84">
        <v>69</v>
      </c>
      <c r="D84" s="17">
        <v>1</v>
      </c>
      <c r="E84" s="24"/>
    </row>
    <row r="85" spans="1:5" x14ac:dyDescent="0.2">
      <c r="A85" t="s">
        <v>94</v>
      </c>
      <c r="B85" t="s">
        <v>1</v>
      </c>
      <c r="C85">
        <v>43</v>
      </c>
      <c r="D85" s="17">
        <v>1</v>
      </c>
      <c r="E85" s="24"/>
    </row>
    <row r="86" spans="1:5" x14ac:dyDescent="0.2">
      <c r="A86" t="s">
        <v>95</v>
      </c>
      <c r="B86" t="s">
        <v>1</v>
      </c>
      <c r="C86">
        <v>43</v>
      </c>
      <c r="D86" s="17">
        <v>2</v>
      </c>
      <c r="E86" s="24"/>
    </row>
    <row r="87" spans="1:5" x14ac:dyDescent="0.2">
      <c r="A87" t="s">
        <v>96</v>
      </c>
      <c r="B87" t="s">
        <v>1</v>
      </c>
      <c r="C87">
        <v>54</v>
      </c>
      <c r="D87" s="17">
        <v>1</v>
      </c>
      <c r="E87" s="24"/>
    </row>
    <row r="88" spans="1:5" x14ac:dyDescent="0.2">
      <c r="A88" t="s">
        <v>97</v>
      </c>
      <c r="B88" t="s">
        <v>1</v>
      </c>
      <c r="C88">
        <v>64</v>
      </c>
      <c r="D88" s="17">
        <v>2</v>
      </c>
      <c r="E88" s="24"/>
    </row>
    <row r="89" spans="1:5" x14ac:dyDescent="0.2">
      <c r="A89" t="s">
        <v>98</v>
      </c>
      <c r="B89" t="s">
        <v>1</v>
      </c>
      <c r="C89">
        <v>36</v>
      </c>
      <c r="D89" s="17">
        <v>2</v>
      </c>
      <c r="E89" s="24"/>
    </row>
    <row r="90" spans="1:5" x14ac:dyDescent="0.2">
      <c r="A90" t="s">
        <v>99</v>
      </c>
      <c r="B90" t="s">
        <v>1</v>
      </c>
      <c r="C90">
        <v>44</v>
      </c>
      <c r="D90" s="17">
        <v>1</v>
      </c>
      <c r="E90" s="24"/>
    </row>
    <row r="91" spans="1:5" x14ac:dyDescent="0.2">
      <c r="A91" t="s">
        <v>100</v>
      </c>
      <c r="B91" t="s">
        <v>0</v>
      </c>
      <c r="C91">
        <v>42</v>
      </c>
      <c r="D91" s="17">
        <v>2</v>
      </c>
      <c r="E91" s="24"/>
    </row>
    <row r="92" spans="1:5" x14ac:dyDescent="0.2">
      <c r="A92" t="s">
        <v>101</v>
      </c>
      <c r="B92" t="s">
        <v>1</v>
      </c>
      <c r="C92">
        <v>50</v>
      </c>
      <c r="D92" s="17">
        <v>2</v>
      </c>
      <c r="E92" s="24"/>
    </row>
    <row r="93" spans="1:5" x14ac:dyDescent="0.2">
      <c r="A93" t="s">
        <v>102</v>
      </c>
      <c r="B93" t="s">
        <v>1</v>
      </c>
      <c r="C93">
        <v>25</v>
      </c>
      <c r="D93" s="17">
        <v>1</v>
      </c>
      <c r="E93" s="24"/>
    </row>
    <row r="94" spans="1:5" x14ac:dyDescent="0.2">
      <c r="A94" t="s">
        <v>103</v>
      </c>
      <c r="B94" t="s">
        <v>0</v>
      </c>
      <c r="C94">
        <v>53</v>
      </c>
      <c r="D94" s="17">
        <v>2</v>
      </c>
      <c r="E94" s="24"/>
    </row>
    <row r="95" spans="1:5" x14ac:dyDescent="0.2">
      <c r="A95" t="s">
        <v>104</v>
      </c>
      <c r="B95" t="s">
        <v>1</v>
      </c>
      <c r="C95">
        <v>57</v>
      </c>
      <c r="D95" s="17">
        <v>1</v>
      </c>
      <c r="E95" s="24"/>
    </row>
    <row r="96" spans="1:5" x14ac:dyDescent="0.2">
      <c r="A96" t="s">
        <v>105</v>
      </c>
      <c r="B96" t="s">
        <v>0</v>
      </c>
      <c r="C96">
        <v>48</v>
      </c>
      <c r="D96" s="17">
        <v>2</v>
      </c>
      <c r="E96" s="24"/>
    </row>
    <row r="97" spans="1:5" x14ac:dyDescent="0.2">
      <c r="A97" t="s">
        <v>106</v>
      </c>
      <c r="B97" t="s">
        <v>1</v>
      </c>
      <c r="C97">
        <v>67</v>
      </c>
      <c r="D97" s="17">
        <v>2</v>
      </c>
      <c r="E97" s="24"/>
    </row>
    <row r="98" spans="1:5" x14ac:dyDescent="0.2">
      <c r="A98" t="s">
        <v>107</v>
      </c>
      <c r="B98" t="s">
        <v>0</v>
      </c>
      <c r="C98">
        <v>57</v>
      </c>
      <c r="D98" s="17">
        <v>2</v>
      </c>
      <c r="E98" s="24"/>
    </row>
    <row r="99" spans="1:5" x14ac:dyDescent="0.2">
      <c r="A99" t="s">
        <v>108</v>
      </c>
      <c r="B99" t="s">
        <v>1</v>
      </c>
      <c r="C99">
        <v>52</v>
      </c>
      <c r="D99" s="17">
        <v>1</v>
      </c>
      <c r="E99" s="24"/>
    </row>
    <row r="100" spans="1:5" x14ac:dyDescent="0.2">
      <c r="A100" t="s">
        <v>109</v>
      </c>
      <c r="B100" t="s">
        <v>0</v>
      </c>
      <c r="C100">
        <v>31</v>
      </c>
      <c r="D100" s="17">
        <v>1</v>
      </c>
      <c r="E100" s="24"/>
    </row>
    <row r="101" spans="1:5" x14ac:dyDescent="0.2">
      <c r="A101" s="20" t="s">
        <v>110</v>
      </c>
      <c r="B101" s="20" t="s">
        <v>1</v>
      </c>
      <c r="C101" s="20">
        <v>46</v>
      </c>
      <c r="D101" s="21">
        <v>2</v>
      </c>
      <c r="E101" s="25"/>
    </row>
    <row r="102" spans="1:5" x14ac:dyDescent="0.2">
      <c r="A102" s="20" t="s">
        <v>120</v>
      </c>
      <c r="B102" s="20" t="s">
        <v>1</v>
      </c>
      <c r="C102" s="20">
        <v>46</v>
      </c>
      <c r="D102" s="21">
        <v>2</v>
      </c>
      <c r="E102">
        <v>523.97999999999979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8436F-5496-144D-A537-5104FA8391F3}">
  <sheetPr codeName="ClaimsP"/>
  <dimension ref="B2:AD21"/>
  <sheetViews>
    <sheetView tabSelected="1" zoomScale="150" zoomScaleNormal="90" workbookViewId="0">
      <selection activeCell="G13" sqref="G13"/>
    </sheetView>
  </sheetViews>
  <sheetFormatPr baseColWidth="10" defaultRowHeight="15" x14ac:dyDescent="0.2"/>
  <cols>
    <col min="1" max="1" width="1.6640625" customWidth="1"/>
    <col min="4" max="4" width="4.1640625" customWidth="1"/>
    <col min="5" max="5" width="23.1640625" bestFit="1" customWidth="1"/>
    <col min="6" max="30" width="8.33203125" customWidth="1"/>
  </cols>
  <sheetData>
    <row r="2" spans="2:30" ht="29" x14ac:dyDescent="0.35">
      <c r="B2" s="42" t="s">
        <v>117</v>
      </c>
      <c r="C2" s="40"/>
      <c r="F2" s="41" t="s">
        <v>118</v>
      </c>
    </row>
    <row r="4" spans="2:30" x14ac:dyDescent="0.2">
      <c r="B4" s="37" t="s">
        <v>7</v>
      </c>
      <c r="C4" s="4" t="s">
        <v>1</v>
      </c>
      <c r="E4" s="3" t="s">
        <v>113</v>
      </c>
      <c r="F4" s="2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2">
        <v>12</v>
      </c>
      <c r="R4" s="2">
        <v>13</v>
      </c>
      <c r="S4" s="2">
        <v>14</v>
      </c>
      <c r="T4" s="2">
        <v>15</v>
      </c>
      <c r="U4" s="2">
        <v>16</v>
      </c>
      <c r="V4" s="2">
        <v>17</v>
      </c>
      <c r="W4" s="2">
        <v>18</v>
      </c>
      <c r="X4" s="2">
        <v>19</v>
      </c>
      <c r="Y4" s="2">
        <v>20</v>
      </c>
      <c r="Z4" s="2">
        <v>21</v>
      </c>
      <c r="AA4" s="2">
        <v>22</v>
      </c>
      <c r="AB4" s="2">
        <v>23</v>
      </c>
      <c r="AC4" s="2">
        <v>24</v>
      </c>
      <c r="AD4" s="2">
        <v>25</v>
      </c>
    </row>
    <row r="5" spans="2:30" x14ac:dyDescent="0.2">
      <c r="B5" s="37" t="s">
        <v>8</v>
      </c>
      <c r="C5" s="4">
        <v>46</v>
      </c>
      <c r="E5" s="3" t="s">
        <v>5</v>
      </c>
      <c r="F5" s="1">
        <f t="shared" ref="F5:AD5" si="0">ROUNDDOWN(($C$5+F4-1)/10,0)*10</f>
        <v>40</v>
      </c>
      <c r="G5" s="1">
        <f t="shared" si="0"/>
        <v>40</v>
      </c>
      <c r="H5" s="1">
        <f t="shared" si="0"/>
        <v>40</v>
      </c>
      <c r="I5" s="1">
        <f t="shared" si="0"/>
        <v>40</v>
      </c>
      <c r="J5" s="1">
        <f t="shared" si="0"/>
        <v>50</v>
      </c>
      <c r="K5" s="1">
        <f t="shared" si="0"/>
        <v>50</v>
      </c>
      <c r="L5" s="1">
        <f t="shared" si="0"/>
        <v>50</v>
      </c>
      <c r="M5" s="1">
        <f t="shared" si="0"/>
        <v>50</v>
      </c>
      <c r="N5" s="1">
        <f t="shared" si="0"/>
        <v>50</v>
      </c>
      <c r="O5" s="1">
        <f t="shared" si="0"/>
        <v>50</v>
      </c>
      <c r="P5" s="1">
        <f t="shared" si="0"/>
        <v>50</v>
      </c>
      <c r="Q5" s="1">
        <f t="shared" si="0"/>
        <v>50</v>
      </c>
      <c r="R5" s="1">
        <f t="shared" si="0"/>
        <v>50</v>
      </c>
      <c r="S5" s="1">
        <f t="shared" si="0"/>
        <v>50</v>
      </c>
      <c r="T5" s="1">
        <f t="shared" si="0"/>
        <v>60</v>
      </c>
      <c r="U5" s="1">
        <f t="shared" si="0"/>
        <v>60</v>
      </c>
      <c r="V5" s="1">
        <f t="shared" si="0"/>
        <v>60</v>
      </c>
      <c r="W5" s="1">
        <f t="shared" si="0"/>
        <v>60</v>
      </c>
      <c r="X5" s="1">
        <f t="shared" si="0"/>
        <v>60</v>
      </c>
      <c r="Y5" s="1">
        <f t="shared" si="0"/>
        <v>60</v>
      </c>
      <c r="Z5" s="1">
        <f t="shared" si="0"/>
        <v>60</v>
      </c>
      <c r="AA5" s="1">
        <f t="shared" si="0"/>
        <v>60</v>
      </c>
      <c r="AB5" s="1">
        <f t="shared" si="0"/>
        <v>60</v>
      </c>
      <c r="AC5" s="1">
        <f t="shared" si="0"/>
        <v>60</v>
      </c>
      <c r="AD5" s="1">
        <f t="shared" si="0"/>
        <v>70</v>
      </c>
    </row>
    <row r="6" spans="2:30" x14ac:dyDescent="0.2">
      <c r="B6" s="37" t="s">
        <v>9</v>
      </c>
      <c r="C6" s="4" t="s">
        <v>2</v>
      </c>
      <c r="E6" s="3" t="s">
        <v>4</v>
      </c>
      <c r="F6" s="1">
        <f t="shared" ref="F6:AD6" si="1">IF(F5&gt;=70,0,IF($C$4="Male",$F$17,$F$18)*HLOOKUP(F5,$J$16:$N$18,IF($C$4="Male",2,3),FALSE)*IF($C$6="Healthy",$R$17,$R$18))</f>
        <v>11.07</v>
      </c>
      <c r="G6" s="1">
        <f t="shared" si="1"/>
        <v>11.07</v>
      </c>
      <c r="H6" s="1">
        <f t="shared" si="1"/>
        <v>11.07</v>
      </c>
      <c r="I6" s="1">
        <f t="shared" si="1"/>
        <v>11.07</v>
      </c>
      <c r="J6" s="1">
        <f t="shared" si="1"/>
        <v>18.450000000000003</v>
      </c>
      <c r="K6" s="1">
        <f t="shared" si="1"/>
        <v>18.450000000000003</v>
      </c>
      <c r="L6" s="1">
        <f t="shared" si="1"/>
        <v>18.450000000000003</v>
      </c>
      <c r="M6" s="1">
        <f t="shared" si="1"/>
        <v>18.450000000000003</v>
      </c>
      <c r="N6" s="1">
        <f t="shared" si="1"/>
        <v>18.450000000000003</v>
      </c>
      <c r="O6" s="1">
        <f t="shared" si="1"/>
        <v>18.450000000000003</v>
      </c>
      <c r="P6" s="1">
        <f t="shared" si="1"/>
        <v>18.450000000000003</v>
      </c>
      <c r="Q6" s="1">
        <f t="shared" si="1"/>
        <v>18.450000000000003</v>
      </c>
      <c r="R6" s="1">
        <f t="shared" si="1"/>
        <v>18.450000000000003</v>
      </c>
      <c r="S6" s="1">
        <f t="shared" si="1"/>
        <v>18.450000000000003</v>
      </c>
      <c r="T6" s="1">
        <f t="shared" si="1"/>
        <v>29.52</v>
      </c>
      <c r="U6" s="1">
        <f t="shared" si="1"/>
        <v>29.52</v>
      </c>
      <c r="V6" s="1">
        <f t="shared" si="1"/>
        <v>29.52</v>
      </c>
      <c r="W6" s="1">
        <f t="shared" si="1"/>
        <v>29.52</v>
      </c>
      <c r="X6" s="1">
        <f t="shared" si="1"/>
        <v>29.52</v>
      </c>
      <c r="Y6" s="1">
        <f t="shared" si="1"/>
        <v>29.52</v>
      </c>
      <c r="Z6" s="1">
        <f t="shared" si="1"/>
        <v>29.52</v>
      </c>
      <c r="AA6" s="1">
        <f t="shared" si="1"/>
        <v>29.52</v>
      </c>
      <c r="AB6" s="1">
        <f t="shared" si="1"/>
        <v>29.52</v>
      </c>
      <c r="AC6" s="1">
        <f t="shared" si="1"/>
        <v>29.52</v>
      </c>
      <c r="AD6" s="1">
        <f t="shared" si="1"/>
        <v>0</v>
      </c>
    </row>
    <row r="8" spans="2:30" ht="19" x14ac:dyDescent="0.25">
      <c r="E8" s="22" t="s">
        <v>112</v>
      </c>
      <c r="F8" s="46">
        <f>SUM(F6:AD6)</f>
        <v>523.97999999999979</v>
      </c>
      <c r="G8" s="46"/>
    </row>
    <row r="12" spans="2:30" s="45" customFormat="1" ht="29" x14ac:dyDescent="0.35">
      <c r="B12" s="43" t="s">
        <v>119</v>
      </c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</row>
    <row r="14" spans="2:30" ht="16" thickBot="1" x14ac:dyDescent="0.25"/>
    <row r="15" spans="2:30" ht="16" thickBot="1" x14ac:dyDescent="0.25">
      <c r="J15" s="32" t="s">
        <v>114</v>
      </c>
      <c r="K15" s="33"/>
      <c r="L15" s="33"/>
      <c r="M15" s="33"/>
      <c r="N15" s="34"/>
    </row>
    <row r="16" spans="2:30" ht="49" thickBot="1" x14ac:dyDescent="0.25">
      <c r="E16" s="6"/>
      <c r="F16" s="15" t="s">
        <v>6</v>
      </c>
      <c r="J16" s="29">
        <v>20</v>
      </c>
      <c r="K16" s="7">
        <f>J16+10</f>
        <v>30</v>
      </c>
      <c r="L16" s="7">
        <f>K16+10</f>
        <v>40</v>
      </c>
      <c r="M16" s="7">
        <f>L16+10</f>
        <v>50</v>
      </c>
      <c r="N16" s="8">
        <f>M16+10</f>
        <v>60</v>
      </c>
      <c r="Q16" s="38" t="s">
        <v>116</v>
      </c>
      <c r="R16" s="39"/>
    </row>
    <row r="17" spans="5:18" ht="16" thickBot="1" x14ac:dyDescent="0.25">
      <c r="E17" s="13" t="s">
        <v>0</v>
      </c>
      <c r="F17" s="9">
        <v>687</v>
      </c>
      <c r="I17" s="31" t="s">
        <v>115</v>
      </c>
      <c r="J17" s="26">
        <v>0.01</v>
      </c>
      <c r="K17" s="5">
        <v>1.4999999999999999E-2</v>
      </c>
      <c r="L17" s="5">
        <v>0.03</v>
      </c>
      <c r="M17" s="5">
        <v>0.05</v>
      </c>
      <c r="N17" s="10">
        <v>0.08</v>
      </c>
      <c r="Q17" s="35" t="s">
        <v>2</v>
      </c>
      <c r="R17" s="36">
        <v>1</v>
      </c>
    </row>
    <row r="18" spans="5:18" ht="16" thickBot="1" x14ac:dyDescent="0.25">
      <c r="E18" s="14" t="s">
        <v>1</v>
      </c>
      <c r="F18" s="11">
        <v>492</v>
      </c>
      <c r="I18" s="31" t="s">
        <v>1</v>
      </c>
      <c r="J18" s="30">
        <f>J17*0.75</f>
        <v>7.4999999999999997E-3</v>
      </c>
      <c r="K18" s="27">
        <f>K17*0.75</f>
        <v>1.125E-2</v>
      </c>
      <c r="L18" s="27">
        <f>L17*0.75</f>
        <v>2.2499999999999999E-2</v>
      </c>
      <c r="M18" s="27">
        <f>M17*0.75</f>
        <v>3.7500000000000006E-2</v>
      </c>
      <c r="N18" s="28">
        <f>N17*0.75</f>
        <v>0.06</v>
      </c>
      <c r="Q18" s="12" t="s">
        <v>3</v>
      </c>
      <c r="R18" s="1">
        <v>1.5</v>
      </c>
    </row>
    <row r="20" spans="5:18" s="45" customFormat="1" x14ac:dyDescent="0.2"/>
    <row r="21" spans="5:18" s="45" customFormat="1" x14ac:dyDescent="0.2"/>
  </sheetData>
  <mergeCells count="1">
    <mergeCell ref="F8:G8"/>
  </mergeCells>
  <dataValidations count="3">
    <dataValidation type="list" allowBlank="1" showInputMessage="1" showErrorMessage="1" sqref="C4" xr:uid="{A2D52074-B673-D044-BEC8-15C6ABF40DF1}">
      <formula1>"Male,Female"</formula1>
    </dataValidation>
    <dataValidation type="list" allowBlank="1" showInputMessage="1" showErrorMessage="1" sqref="C6" xr:uid="{494137F3-79F3-8C47-9ED5-48B110CF2DF8}">
      <formula1>"Healthy,Unhealthy"</formula1>
    </dataValidation>
    <dataValidation allowBlank="1" showInputMessage="1" showErrorMessage="1" prompt="Enter age at the start of the policy. Age may range from 20 - 69. " sqref="C5" xr:uid="{92F5D509-1A3A-184C-9FEC-0710B86A9CA9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Policyholder Data</vt:lpstr>
      <vt:lpstr>Claims Projection Tool</vt:lpstr>
      <vt:lpstr>Age</vt:lpstr>
      <vt:lpstr>Condition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Breanne Fried</dc:creator>
  <cp:lastModifiedBy>Anthony Cruz</cp:lastModifiedBy>
  <dcterms:created xsi:type="dcterms:W3CDTF">2021-04-05T00:25:15Z</dcterms:created>
  <dcterms:modified xsi:type="dcterms:W3CDTF">2024-04-24T04:45:11Z</dcterms:modified>
</cp:coreProperties>
</file>